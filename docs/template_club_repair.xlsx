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  <sheet state="visible" name="prices" sheetId="2" r:id="rId5"/>
  </sheets>
  <definedNames/>
  <calcPr/>
</workbook>
</file>

<file path=xl/sharedStrings.xml><?xml version="1.0" encoding="utf-8"?>
<sst xmlns="http://schemas.openxmlformats.org/spreadsheetml/2006/main" count="69" uniqueCount="44">
  <si>
    <t>GRIPS</t>
  </si>
  <si>
    <t>grips</t>
  </si>
  <si>
    <t xml:space="preserve">GolfPride CP2 Wrap </t>
  </si>
  <si>
    <t>SuperStoke Crossline 2.0</t>
  </si>
  <si>
    <t>Golf Grip Installation</t>
  </si>
  <si>
    <t>Superstroke Element</t>
  </si>
  <si>
    <t>Long/Belly Putter Grip Installation</t>
  </si>
  <si>
    <t>SuperStroke Revl Comfort White</t>
  </si>
  <si>
    <t>Save Grip</t>
  </si>
  <si>
    <t>putter grips</t>
  </si>
  <si>
    <t>shaft install and removals</t>
  </si>
  <si>
    <t xml:space="preserve">WINN EXCEL PRO X </t>
  </si>
  <si>
    <t>WINN EXCEL MEDALIST PISTOL</t>
  </si>
  <si>
    <t>Standard Shaft Installation</t>
  </si>
  <si>
    <t>WINN NO TAPER</t>
  </si>
  <si>
    <t>Additional shaft</t>
  </si>
  <si>
    <t>Reshaft (Set of 8)</t>
  </si>
  <si>
    <t>grip labor</t>
  </si>
  <si>
    <t>Remove Shaft</t>
  </si>
  <si>
    <t>Remove Broken Shaft</t>
  </si>
  <si>
    <t>extensions</t>
  </si>
  <si>
    <t>Extend Shaft</t>
  </si>
  <si>
    <t>Extend Shaft + save and reinstall grip</t>
  </si>
  <si>
    <t>shorten shafts</t>
  </si>
  <si>
    <t>Shorten Shaft</t>
  </si>
  <si>
    <t>Shorten Shaft + save and reinstall grip</t>
  </si>
  <si>
    <t>loft and lie</t>
  </si>
  <si>
    <t>Loft and Lie Adjustment</t>
  </si>
  <si>
    <t>Putter Lie Adjustment</t>
  </si>
  <si>
    <t>Re glue loose head</t>
  </si>
  <si>
    <t>8790 S Maryland Pkwy</t>
  </si>
  <si>
    <t>Las Vegas, NV 89123</t>
  </si>
  <si>
    <t>702-715-9651</t>
  </si>
  <si>
    <t>Invoice for</t>
  </si>
  <si>
    <t>russ clark</t>
  </si>
  <si>
    <t>Email</t>
  </si>
  <si>
    <t>Phone</t>
  </si>
  <si>
    <t>702-219-9028</t>
  </si>
  <si>
    <t>Qty</t>
  </si>
  <si>
    <t>Unit price</t>
  </si>
  <si>
    <t>Total price</t>
  </si>
  <si>
    <t>NOTES</t>
  </si>
  <si>
    <t>Subtotal</t>
  </si>
  <si>
    <t>tax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</si>
</sst>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&quot;$&quot;#,##0.00"/>
  </numFmts>
  <fonts count="33">
    <font>
      <sz val="10.0"/>
      <color rgb="FF000000"/>
      <name val="Arial"/>
    </font>
    <font/>
    <font>
      <b/>
      <sz val="17.0"/>
      <name val="Calibri"/>
    </font>
    <font>
      <sz val="14.0"/>
      <name val="Calibri"/>
    </font>
    <font>
      <sz val="17.0"/>
      <name val="Calibri"/>
    </font>
    <font>
      <sz val="13.0"/>
      <name val="Calibri"/>
    </font>
    <font>
      <sz val="11.0"/>
      <name val="Calibri"/>
    </font>
    <font>
      <sz val="12.0"/>
      <name val="Calibri"/>
    </font>
    <font>
      <sz val="10.0"/>
      <name val="Roboto"/>
    </font>
    <font>
      <sz val="10.0"/>
      <color rgb="FF666666"/>
      <name val="Roboto"/>
    </font>
    <font>
      <sz val="20.0"/>
      <color rgb="FF6D64E8"/>
      <name val="Roboto"/>
    </font>
    <font>
      <sz val="10.0"/>
      <color rgb="FF6D64E8"/>
      <name val="Roboto"/>
    </font>
    <font>
      <color rgb="FF666666"/>
      <name val="Roboto"/>
    </font>
    <font>
      <b/>
      <sz val="12.0"/>
      <color rgb="FF666666"/>
      <name val="Roboto"/>
    </font>
    <font>
      <name val="Roboto"/>
    </font>
    <font>
      <b/>
      <sz val="16.0"/>
      <color rgb="FF0000FF"/>
      <name val="Roboto"/>
    </font>
    <font>
      <b/>
      <sz val="12.0"/>
      <color rgb="FFE01B84"/>
      <name val="Roboto"/>
    </font>
    <font>
      <sz val="13.0"/>
      <name val="Roboto"/>
    </font>
    <font>
      <b/>
      <sz val="12.0"/>
      <color rgb="FF000000"/>
      <name val="Roboto"/>
    </font>
    <font>
      <b/>
      <sz val="12.0"/>
      <color rgb="FF434343"/>
      <name val="Roboto"/>
    </font>
    <font>
      <b/>
    </font>
    <font>
      <b/>
      <sz val="14.0"/>
      <color rgb="FF0000FF"/>
      <name val="Roboto"/>
    </font>
    <font>
      <b/>
      <sz val="12.0"/>
      <color rgb="FF2A3990"/>
      <name val="Roboto"/>
    </font>
    <font>
      <color rgb="FF000000"/>
      <name val="Roboto"/>
    </font>
    <font>
      <sz val="10.0"/>
      <color rgb="FF000000"/>
      <name val="Roboto"/>
    </font>
    <font>
      <name val="Arial"/>
    </font>
    <font>
      <sz val="16.0"/>
      <color rgb="FF000000"/>
      <name val="Roboto"/>
    </font>
    <font>
      <b/>
      <color rgb="FF000000"/>
      <name val="Roboto"/>
    </font>
    <font>
      <sz val="18.0"/>
      <name val="Roboto"/>
    </font>
    <font>
      <sz val="12.0"/>
      <color rgb="FFE01B84"/>
      <name val="Roboto"/>
    </font>
    <font>
      <sz val="18.0"/>
      <color rgb="FFE01B84"/>
      <name val="Roboto"/>
    </font>
    <font>
      <b/>
      <sz val="20.0"/>
      <color rgb="FF000000"/>
      <name val="Roboto"/>
    </font>
    <font>
      <sz val="18.0"/>
      <color rgb="FF666666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283592"/>
        <bgColor rgb="FF283592"/>
      </patternFill>
    </fill>
    <fill>
      <patternFill patternType="solid">
        <fgColor rgb="FFF3F3F3"/>
        <bgColor rgb="FFF3F3F3"/>
      </patternFill>
    </fill>
  </fills>
  <borders count="11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bottom style="thin">
        <color rgb="FFB7B7B7"/>
      </bottom>
    </border>
    <border>
      <top style="thin">
        <color rgb="FFB7B7B7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2" numFmtId="0" xfId="0" applyAlignment="1" applyFont="1">
      <alignment horizontal="center"/>
    </xf>
    <xf borderId="0" fillId="0" fontId="6" numFmtId="0" xfId="0" applyAlignment="1" applyFont="1">
      <alignment horizontal="center" vertical="bottom"/>
    </xf>
    <xf borderId="0" fillId="0" fontId="7" numFmtId="165" xfId="0" applyAlignment="1" applyFont="1" applyNumberFormat="1">
      <alignment horizontal="right" vertical="bottom"/>
    </xf>
    <xf borderId="0" fillId="0" fontId="6" numFmtId="165" xfId="0" applyAlignment="1" applyFont="1" applyNumberFormat="1">
      <alignment horizontal="right" vertical="bottom"/>
    </xf>
    <xf borderId="0" fillId="2" fontId="2" numFmtId="0" xfId="0" applyAlignment="1" applyFill="1" applyFont="1">
      <alignment horizontal="center" readingOrder="0"/>
    </xf>
    <xf borderId="0" fillId="2" fontId="6" numFmtId="0" xfId="0" applyAlignment="1" applyFill="1" applyFont="1">
      <alignment vertical="bottom"/>
    </xf>
    <xf borderId="0" fillId="2" fontId="6" numFmtId="164" xfId="0" applyAlignment="1" applyFill="1" applyFont="1" applyNumberFormat="1">
      <alignment vertical="bottom"/>
    </xf>
    <xf borderId="0" fillId="3" fontId="8" numFmtId="0" xfId="0" applyAlignment="1" applyFill="1" applyFont="1">
      <alignment vertical="bottom"/>
    </xf>
    <xf borderId="0" fillId="3" fontId="8" numFmtId="14" xfId="0" applyAlignment="1" applyFill="1" applyFont="1" applyNumberFormat="1">
      <alignment vertical="bottom"/>
    </xf>
    <xf borderId="0" fillId="3" fontId="8" numFmtId="0" xfId="0" applyAlignment="1" applyFill="1" applyFont="1">
      <alignment horizontal="center" vertical="bottom"/>
    </xf>
    <xf borderId="0" fillId="4" fontId="9" numFmtId="0" xfId="0" applyAlignment="1" applyFill="1" applyFont="1">
      <alignment vertical="bottom"/>
    </xf>
    <xf borderId="0" fillId="4" fontId="9" numFmtId="14" xfId="0" applyAlignment="1" applyFill="1" applyFont="1" applyNumberFormat="1">
      <alignment vertical="bottom"/>
    </xf>
    <xf borderId="0" fillId="4" fontId="9" numFmtId="0" xfId="0" applyAlignment="1" applyFill="1" applyFont="1">
      <alignment horizontal="center" vertical="bottom"/>
    </xf>
    <xf borderId="0" fillId="4" fontId="8" numFmtId="0" xfId="0" applyAlignment="1" applyFill="1" applyFont="1">
      <alignment vertical="bottom"/>
    </xf>
    <xf borderId="0" fillId="4" fontId="10" numFmtId="0" xfId="0" applyAlignment="1" applyFill="1" applyFont="1">
      <alignment vertical="bottom"/>
    </xf>
    <xf borderId="0" fillId="4" fontId="10" numFmtId="0" xfId="0" applyAlignment="1" applyFill="1" applyFont="1">
      <alignment horizontal="center"/>
    </xf>
    <xf borderId="0" fillId="4" fontId="11" numFmtId="0" xfId="0" applyAlignment="1" applyFill="1" applyFont="1">
      <alignment horizontal="center" vertical="bottom"/>
    </xf>
    <xf borderId="0" fillId="4" fontId="8" numFmtId="0" xfId="0" applyAlignment="1" applyFill="1" applyFont="1">
      <alignment vertical="bottom"/>
    </xf>
    <xf borderId="0" fillId="4" fontId="12" numFmtId="0" xfId="0" applyAlignment="1" applyFill="1" applyFont="1">
      <alignment readingOrder="0" vertical="bottom"/>
    </xf>
    <xf borderId="0" fillId="4" fontId="9" numFmtId="0" xfId="0" applyAlignment="1" applyFill="1" applyFont="1">
      <alignment horizontal="center" vertical="bottom"/>
    </xf>
    <xf borderId="0" fillId="4" fontId="12" numFmtId="0" xfId="0" applyAlignment="1" applyFill="1" applyFont="1">
      <alignment readingOrder="0" vertical="top"/>
    </xf>
    <xf borderId="0" fillId="4" fontId="8" numFmtId="0" xfId="0" applyAlignment="1" applyFill="1" applyFont="1">
      <alignment vertical="center"/>
    </xf>
    <xf borderId="0" fillId="4" fontId="9" numFmtId="0" xfId="0" applyAlignment="1" applyFill="1" applyFont="1">
      <alignment readingOrder="0" vertical="center"/>
    </xf>
    <xf borderId="0" fillId="4" fontId="9" numFmtId="0" xfId="0" applyAlignment="1" applyFill="1" applyFont="1">
      <alignment vertical="center"/>
    </xf>
    <xf borderId="0" fillId="4" fontId="9" numFmtId="0" xfId="0" applyAlignment="1" applyFill="1" applyFont="1">
      <alignment horizontal="center" vertical="center"/>
    </xf>
    <xf borderId="0" fillId="4" fontId="13" numFmtId="0" xfId="0" applyAlignment="1" applyFill="1" applyFont="1">
      <alignment readingOrder="0" vertical="center"/>
    </xf>
    <xf borderId="0" fillId="4" fontId="9" numFmtId="0" xfId="0" applyAlignment="1" applyFill="1" applyFont="1">
      <alignment vertical="bottom"/>
    </xf>
    <xf borderId="0" fillId="4" fontId="14" numFmtId="0" xfId="0" applyAlignment="1" applyFill="1" applyFont="1">
      <alignment readingOrder="0" vertical="center"/>
    </xf>
    <xf borderId="1" fillId="0" fontId="15" numFmtId="0" xfId="0" applyAlignment="1" applyBorder="1" applyFont="1">
      <alignment readingOrder="0" vertical="center"/>
    </xf>
    <xf borderId="2" fillId="0" fontId="1" numFmtId="0" xfId="0" applyBorder="1" applyFont="1"/>
    <xf borderId="3" fillId="0" fontId="1" numFmtId="0" xfId="0" applyBorder="1" applyFont="1"/>
    <xf borderId="0" fillId="4" fontId="14" numFmtId="0" xfId="0" applyAlignment="1" applyFill="1" applyFont="1">
      <alignment horizontal="center"/>
    </xf>
    <xf borderId="0" fillId="4" fontId="14" numFmtId="0" xfId="0" applyAlignment="1" applyFill="1" applyFont="1">
      <alignment vertical="center"/>
    </xf>
    <xf borderId="0" fillId="4" fontId="16" numFmtId="0" xfId="0" applyAlignment="1" applyFill="1" applyFont="1">
      <alignment horizontal="left" readingOrder="0" vertical="bottom"/>
    </xf>
    <xf borderId="0" fillId="4" fontId="12" numFmtId="0" xfId="0" applyFill="1" applyFont="1"/>
    <xf borderId="0" fillId="4" fontId="12" numFmtId="0" xfId="0" applyAlignment="1" applyFill="1" applyFont="1">
      <alignment horizontal="center"/>
    </xf>
    <xf borderId="0" fillId="4" fontId="17" numFmtId="0" xfId="0" applyAlignment="1" applyFill="1" applyFont="1">
      <alignment vertical="center"/>
    </xf>
    <xf borderId="0" fillId="4" fontId="1" numFmtId="0" xfId="0" applyFill="1" applyFont="1"/>
    <xf borderId="0" fillId="4" fontId="18" numFmtId="0" xfId="0" applyAlignment="1" applyFill="1" applyFont="1">
      <alignment horizontal="left" readingOrder="0" vertical="center"/>
    </xf>
    <xf borderId="4" fillId="0" fontId="19" numFmtId="0" xfId="0" applyAlignment="1" applyBorder="1" applyFont="1">
      <alignment horizontal="center" readingOrder="0" vertical="center"/>
    </xf>
    <xf borderId="5" fillId="0" fontId="1" numFmtId="0" xfId="0" applyBorder="1" applyFont="1"/>
    <xf borderId="0" fillId="4" fontId="18" numFmtId="0" xfId="0" applyAlignment="1" applyFill="1" applyFont="1">
      <alignment readingOrder="0" vertical="center"/>
    </xf>
    <xf borderId="0" fillId="4" fontId="20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6" fillId="0" fontId="21" numFmtId="0" xfId="0" applyAlignment="1" applyBorder="1" applyFont="1">
      <alignment horizontal="center" readingOrder="0" vertical="center"/>
    </xf>
    <xf borderId="7" fillId="0" fontId="1" numFmtId="0" xfId="0" applyBorder="1" applyFont="1"/>
    <xf borderId="8" fillId="4" fontId="9" numFmtId="0" xfId="0" applyAlignment="1" applyBorder="1" applyFill="1" applyFont="1">
      <alignment vertical="bottom"/>
    </xf>
    <xf borderId="8" fillId="0" fontId="1" numFmtId="0" xfId="0" applyBorder="1" applyFont="1"/>
    <xf borderId="8" fillId="4" fontId="9" numFmtId="0" xfId="0" applyAlignment="1" applyBorder="1" applyFill="1" applyFont="1">
      <alignment horizontal="center" vertical="bottom"/>
    </xf>
    <xf borderId="0" fillId="0" fontId="14" numFmtId="0" xfId="0" applyAlignment="1" applyFont="1">
      <alignment vertical="center"/>
    </xf>
    <xf borderId="0" fillId="0" fontId="12" numFmtId="0" xfId="0" applyFont="1"/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/>
    </xf>
    <xf borderId="0" fillId="0" fontId="22" numFmtId="0" xfId="0" applyAlignment="1" applyFont="1">
      <alignment readingOrder="0" vertical="center"/>
    </xf>
    <xf borderId="0" fillId="0" fontId="22" numFmtId="0" xfId="0" applyAlignment="1" applyFont="1">
      <alignment horizontal="center" readingOrder="0" vertical="center"/>
    </xf>
    <xf borderId="0" fillId="0" fontId="8" numFmtId="0" xfId="0" applyAlignment="1" applyFont="1">
      <alignment vertical="center"/>
    </xf>
    <xf borderId="0" fillId="0" fontId="1" numFmtId="0" xfId="0" applyFont="1"/>
    <xf borderId="0" fillId="0" fontId="23" numFmtId="0" xfId="0" applyAlignment="1" applyFont="1">
      <alignment horizontal="center" readingOrder="0"/>
    </xf>
    <xf borderId="0" fillId="0" fontId="23" numFmtId="165" xfId="0" applyAlignment="1" applyFont="1" applyNumberFormat="1">
      <alignment horizontal="center" readingOrder="0"/>
    </xf>
    <xf borderId="0" fillId="0" fontId="24" numFmtId="165" xfId="0" applyAlignment="1" applyFont="1" applyNumberFormat="1">
      <alignment horizontal="center" readingOrder="0" vertical="center"/>
    </xf>
    <xf borderId="0" fillId="4" fontId="23" numFmtId="165" xfId="0" applyAlignment="1" applyFill="1" applyFont="1" applyNumberFormat="1">
      <alignment horizontal="center"/>
    </xf>
    <xf borderId="0" fillId="0" fontId="25" numFmtId="0" xfId="0" applyFont="1"/>
    <xf borderId="0" fillId="4" fontId="23" numFmtId="0" xfId="0" applyAlignment="1" applyFill="1" applyFont="1">
      <alignment horizontal="center" readingOrder="0" vertical="bottom"/>
    </xf>
    <xf borderId="0" fillId="0" fontId="23" numFmtId="0" xfId="0" applyAlignment="1" applyFont="1">
      <alignment horizontal="center" readingOrder="0" vertical="center"/>
    </xf>
    <xf borderId="0" fillId="0" fontId="12" numFmtId="0" xfId="0" applyAlignment="1" applyFont="1">
      <alignment horizontal="left" readingOrder="0"/>
    </xf>
    <xf borderId="0" fillId="0" fontId="23" numFmtId="0" xfId="0" applyAlignment="1" applyFont="1">
      <alignment horizontal="left" readingOrder="0" vertical="center"/>
    </xf>
    <xf borderId="0" fillId="0" fontId="12" numFmtId="0" xfId="0" applyAlignment="1" applyFont="1">
      <alignment horizontal="left" readingOrder="0" vertical="center"/>
    </xf>
    <xf borderId="0" fillId="0" fontId="12" numFmtId="0" xfId="0" applyAlignment="1" applyFont="1">
      <alignment horizontal="center" vertical="center"/>
    </xf>
    <xf borderId="0" fillId="0" fontId="12" numFmtId="165" xfId="0" applyAlignment="1" applyFont="1" applyNumberFormat="1">
      <alignment horizontal="center" readingOrder="0"/>
    </xf>
    <xf borderId="0" fillId="0" fontId="9" numFmtId="165" xfId="0" applyAlignment="1" applyFont="1" applyNumberFormat="1">
      <alignment horizontal="center" readingOrder="0" vertical="center"/>
    </xf>
    <xf borderId="0" fillId="0" fontId="14" numFmtId="0" xfId="0" applyAlignment="1" applyFont="1">
      <alignment vertical="bottom"/>
    </xf>
    <xf borderId="9" fillId="0" fontId="26" numFmtId="0" xfId="0" applyAlignment="1" applyBorder="1" applyFont="1">
      <alignment horizontal="left" readingOrder="0" shrinkToFit="0" vertical="bottom" wrapText="1"/>
    </xf>
    <xf borderId="9" fillId="0" fontId="1" numFmtId="0" xfId="0" applyBorder="1" applyFont="1"/>
    <xf borderId="9" fillId="0" fontId="23" numFmtId="0" xfId="0" applyAlignment="1" applyBorder="1" applyFont="1">
      <alignment horizontal="center" readingOrder="0" vertical="bottom"/>
    </xf>
    <xf borderId="9" fillId="0" fontId="27" numFmtId="165" xfId="0" applyAlignment="1" applyBorder="1" applyFont="1" applyNumberFormat="1">
      <alignment horizontal="center" vertical="bottom"/>
    </xf>
    <xf borderId="0" fillId="0" fontId="23" numFmtId="0" xfId="0" applyAlignment="1" applyFont="1">
      <alignment horizontal="center" readingOrder="0" vertical="bottom"/>
    </xf>
    <xf borderId="0" fillId="0" fontId="27" numFmtId="165" xfId="0" applyAlignment="1" applyFont="1" applyNumberFormat="1">
      <alignment horizontal="center" readingOrder="0" vertical="bottom"/>
    </xf>
    <xf borderId="0" fillId="0" fontId="28" numFmtId="0" xfId="0" applyAlignment="1" applyFont="1">
      <alignment vertical="center"/>
    </xf>
    <xf borderId="10" fillId="0" fontId="29" numFmtId="0" xfId="0" applyAlignment="1" applyBorder="1" applyFont="1">
      <alignment horizontal="right" readingOrder="0" vertical="center"/>
    </xf>
    <xf borderId="0" fillId="0" fontId="30" numFmtId="0" xfId="0" applyAlignment="1" applyFont="1">
      <alignment vertical="center"/>
    </xf>
    <xf borderId="0" fillId="0" fontId="30" numFmtId="0" xfId="0" applyAlignment="1" applyFont="1">
      <alignment horizontal="center" vertical="center"/>
    </xf>
    <xf borderId="0" fillId="0" fontId="31" numFmtId="165" xfId="0" applyAlignment="1" applyFont="1" applyNumberFormat="1">
      <alignment horizontal="right" vertical="center"/>
    </xf>
    <xf borderId="0" fillId="0" fontId="12" numFmtId="0" xfId="0" applyAlignment="1" applyFont="1">
      <alignment vertical="center"/>
    </xf>
    <xf borderId="0" fillId="0" fontId="32" numFmtId="14" xfId="0" applyAlignment="1" applyFont="1" applyNumberFormat="1">
      <alignment horizontal="right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Invoic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1</xdr:row>
      <xdr:rowOff>142875</xdr:rowOff>
    </xdr:from>
    <xdr:ext cx="2914650" cy="942975"/>
    <xdr:grpSp>
      <xdr:nvGrpSpPr>
        <xdr:cNvPr id="2" name="Shape 2" title="Drawing"/>
        <xdr:cNvGrpSpPr/>
      </xdr:nvGrpSpPr>
      <xdr:grpSpPr>
        <a:xfrm>
          <a:off x="152400" y="152400"/>
          <a:ext cx="8839200" cy="2828687"/>
          <a:chOff x="152400" y="152400"/>
          <a:chExt cx="8839200" cy="2828687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8839200" cy="2828687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6:G28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nvoice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53.38"/>
    <col customWidth="1" min="3" max="3" width="4.25"/>
    <col customWidth="1" min="4" max="4" width="4.38"/>
    <col customWidth="1" min="5" max="5" width="6.13"/>
    <col customWidth="1" min="6" max="6" width="11.88"/>
    <col customWidth="1" min="7" max="7" width="13.13"/>
  </cols>
  <sheetData>
    <row r="1" ht="6.0" customHeight="1">
      <c r="A1" s="17"/>
      <c r="B1" s="17"/>
      <c r="C1" s="17"/>
      <c r="D1" s="18"/>
      <c r="E1" s="19"/>
      <c r="F1" s="19"/>
      <c r="G1" s="19"/>
    </row>
    <row r="2" ht="18.0" customHeight="1">
      <c r="A2" s="20"/>
      <c r="B2" s="20"/>
      <c r="C2" s="20"/>
      <c r="D2" s="21"/>
      <c r="E2" s="22"/>
      <c r="F2" s="22"/>
      <c r="G2" s="22"/>
    </row>
    <row r="3" ht="27.75" customHeight="1">
      <c r="A3" s="23"/>
      <c r="B3" s="24"/>
      <c r="E3" s="25"/>
      <c r="F3" s="26"/>
      <c r="G3" s="26"/>
    </row>
    <row r="4">
      <c r="A4" s="27"/>
      <c r="B4" s="28" t="s">
        <v>30</v>
      </c>
      <c r="E4" s="29"/>
      <c r="F4" s="29"/>
      <c r="G4" s="29"/>
    </row>
    <row r="5">
      <c r="A5" s="27"/>
      <c r="B5" s="30" t="s">
        <v>31</v>
      </c>
      <c r="E5" s="29"/>
      <c r="F5" s="29"/>
      <c r="G5" s="29"/>
    </row>
    <row r="6">
      <c r="A6" s="31"/>
      <c r="B6" s="32" t="s">
        <v>32</v>
      </c>
      <c r="D6" s="33"/>
      <c r="E6" s="34"/>
      <c r="F6" s="34"/>
      <c r="G6" s="34"/>
    </row>
    <row r="7" ht="18.0" customHeight="1">
      <c r="A7" s="23"/>
      <c r="B7" s="35"/>
      <c r="C7" s="35"/>
      <c r="D7" s="36"/>
      <c r="E7" s="29"/>
      <c r="F7" s="29"/>
      <c r="G7" s="29"/>
    </row>
    <row r="8" ht="18.0" customHeight="1">
      <c r="A8" s="23"/>
      <c r="B8" s="35" t="s">
        <v>33</v>
      </c>
      <c r="D8" s="36"/>
      <c r="E8" s="29"/>
      <c r="F8" s="29"/>
      <c r="G8" s="29"/>
    </row>
    <row r="9" ht="27.0" customHeight="1">
      <c r="A9" s="37"/>
      <c r="B9" s="38" t="s">
        <v>34</v>
      </c>
      <c r="C9" s="39"/>
      <c r="D9" s="39"/>
      <c r="E9" s="40"/>
      <c r="F9" s="41"/>
      <c r="G9" s="41"/>
    </row>
    <row r="10" ht="18.0" customHeight="1">
      <c r="A10" s="42"/>
      <c r="B10" s="43"/>
      <c r="D10" s="44"/>
      <c r="E10" s="45"/>
      <c r="F10" s="45"/>
      <c r="G10" s="45"/>
    </row>
    <row r="11" ht="18.0" customHeight="1">
      <c r="A11" s="46"/>
      <c r="B11" s="47"/>
      <c r="C11" s="47"/>
      <c r="D11" s="48" t="s">
        <v>35</v>
      </c>
      <c r="F11" s="49"/>
      <c r="G11" s="50"/>
    </row>
    <row r="12" ht="18.0" customHeight="1">
      <c r="A12" s="31"/>
      <c r="B12" s="51"/>
      <c r="D12" s="52" t="s">
        <v>36</v>
      </c>
      <c r="E12" s="53"/>
      <c r="F12" s="54" t="s">
        <v>37</v>
      </c>
      <c r="G12" s="55"/>
    </row>
    <row r="13">
      <c r="A13" s="27"/>
      <c r="B13" s="56"/>
      <c r="C13" s="57"/>
      <c r="D13" s="56"/>
      <c r="E13" s="47"/>
      <c r="F13" s="58"/>
      <c r="G13" s="57"/>
    </row>
    <row r="14">
      <c r="A14" s="59"/>
      <c r="B14" s="60"/>
      <c r="C14" s="60"/>
      <c r="D14" s="60"/>
      <c r="E14" s="61"/>
      <c r="F14" s="62"/>
      <c r="G14" s="62"/>
    </row>
    <row r="15" ht="30.0" customHeight="1">
      <c r="A15" s="59"/>
      <c r="B15" s="63"/>
      <c r="E15" s="64" t="s">
        <v>38</v>
      </c>
      <c r="F15" s="64" t="s">
        <v>39</v>
      </c>
      <c r="G15" s="64" t="s">
        <v>40</v>
      </c>
    </row>
    <row r="16" ht="19.5" customHeight="1">
      <c r="A16" s="65"/>
      <c r="B16" s="1"/>
      <c r="C16" s="66"/>
      <c r="D16" s="66"/>
      <c r="E16" s="67">
        <v>0.0</v>
      </c>
      <c r="F16" s="68"/>
      <c r="G16" s="69"/>
    </row>
    <row r="17" ht="19.5" customHeight="1">
      <c r="A17" s="65"/>
      <c r="B17" s="1" t="s">
        <v>3</v>
      </c>
      <c r="C17" s="66"/>
      <c r="D17" s="66"/>
      <c r="E17" s="67">
        <v>10.0</v>
      </c>
      <c r="F17" s="68">
        <f>VLOOKUP(B17,prices!A:B,2,false)</f>
        <v>6.99</v>
      </c>
      <c r="G17" s="70">
        <f t="shared" ref="G17:G20" si="1">product(E17,F17)</f>
        <v>69.9</v>
      </c>
    </row>
    <row r="18" ht="19.5" customHeight="1">
      <c r="A18" s="71"/>
      <c r="B18" s="1" t="s">
        <v>9</v>
      </c>
      <c r="C18" s="66"/>
      <c r="D18" s="66"/>
      <c r="E18" s="72">
        <v>0.0</v>
      </c>
      <c r="F18" s="68" t="str">
        <f>VLOOKUP(B18,prices!A:B,2,false)</f>
        <v/>
      </c>
      <c r="G18" s="70">
        <f t="shared" si="1"/>
        <v>0</v>
      </c>
    </row>
    <row r="19" ht="19.5" customHeight="1">
      <c r="A19" s="71"/>
      <c r="B19" s="1" t="s">
        <v>4</v>
      </c>
      <c r="C19" s="66"/>
      <c r="D19" s="66"/>
      <c r="E19" s="72">
        <v>0.0</v>
      </c>
      <c r="F19" s="68">
        <f>VLOOKUP(B19,prices!A:B,2,false)</f>
        <v>5</v>
      </c>
      <c r="G19" s="70">
        <f t="shared" si="1"/>
        <v>0</v>
      </c>
    </row>
    <row r="20" ht="19.5" customHeight="1">
      <c r="A20" s="59"/>
      <c r="B20" s="1" t="s">
        <v>10</v>
      </c>
      <c r="C20" s="66"/>
      <c r="D20" s="66"/>
      <c r="E20" s="73">
        <v>0.0</v>
      </c>
      <c r="F20" s="68" t="str">
        <f>VLOOKUP(B20,prices!A:B,2,false)</f>
        <v/>
      </c>
      <c r="G20" s="70">
        <f t="shared" si="1"/>
        <v>0</v>
      </c>
    </row>
    <row r="21" ht="19.5" customHeight="1">
      <c r="A21" s="59"/>
      <c r="B21" s="1"/>
      <c r="C21" s="66"/>
      <c r="D21" s="66"/>
      <c r="E21" s="73"/>
      <c r="F21" s="68"/>
      <c r="G21" s="70"/>
    </row>
    <row r="22" ht="19.5" customHeight="1">
      <c r="A22" s="59"/>
      <c r="B22" s="1" t="s">
        <v>20</v>
      </c>
      <c r="C22" s="66"/>
      <c r="D22" s="66"/>
      <c r="E22" s="73">
        <v>0.0</v>
      </c>
      <c r="F22" s="68" t="str">
        <f>VLOOKUP(B22,prices!A:B,2,false)</f>
        <v/>
      </c>
      <c r="G22" s="70">
        <f t="shared" ref="G22:G28" si="2">product(E22,F22)</f>
        <v>0</v>
      </c>
    </row>
    <row r="23" ht="19.5" customHeight="1">
      <c r="A23" s="59"/>
      <c r="B23" s="1" t="s">
        <v>23</v>
      </c>
      <c r="C23" s="66"/>
      <c r="D23" s="66"/>
      <c r="E23" s="73">
        <v>0.0</v>
      </c>
      <c r="F23" s="68" t="str">
        <f>VLOOKUP(B23,prices!A:B,2,false)</f>
        <v/>
      </c>
      <c r="G23" s="70">
        <f t="shared" si="2"/>
        <v>0</v>
      </c>
    </row>
    <row r="24" ht="19.5" customHeight="1">
      <c r="A24" s="59"/>
      <c r="B24" s="1" t="s">
        <v>29</v>
      </c>
      <c r="C24" s="66"/>
      <c r="D24" s="66"/>
      <c r="E24" s="73">
        <v>0.0</v>
      </c>
      <c r="F24" s="68"/>
      <c r="G24" s="70">
        <f t="shared" si="2"/>
        <v>0</v>
      </c>
    </row>
    <row r="25" ht="19.5" customHeight="1">
      <c r="A25" s="59"/>
      <c r="C25" s="66"/>
      <c r="D25" s="66"/>
      <c r="E25" s="73">
        <v>0.0</v>
      </c>
      <c r="F25" s="68">
        <v>0.0</v>
      </c>
      <c r="G25" s="70">
        <f t="shared" si="2"/>
        <v>0</v>
      </c>
    </row>
    <row r="26" ht="19.5" customHeight="1">
      <c r="A26" s="59"/>
      <c r="B26" s="1"/>
      <c r="C26" s="66"/>
      <c r="D26" s="66"/>
      <c r="E26" s="73"/>
      <c r="F26" s="68"/>
      <c r="G26" s="69">
        <f t="shared" si="2"/>
        <v>0</v>
      </c>
    </row>
    <row r="27" ht="19.5" customHeight="1">
      <c r="A27" s="59"/>
      <c r="B27" s="1"/>
      <c r="C27" s="66"/>
      <c r="D27" s="66"/>
      <c r="E27" s="73"/>
      <c r="F27" s="68"/>
      <c r="G27" s="69">
        <f t="shared" si="2"/>
        <v>0</v>
      </c>
    </row>
    <row r="28" ht="19.5" hidden="1" customHeight="1">
      <c r="A28" s="59"/>
      <c r="B28" s="74"/>
      <c r="C28" s="75"/>
      <c r="D28" s="76"/>
      <c r="E28" s="77"/>
      <c r="F28" s="78"/>
      <c r="G28" s="79">
        <f t="shared" si="2"/>
        <v>0</v>
      </c>
    </row>
    <row r="29" ht="24.0" customHeight="1">
      <c r="A29" s="80"/>
      <c r="B29" s="81" t="s">
        <v>41</v>
      </c>
      <c r="C29" s="82"/>
      <c r="D29" s="82"/>
      <c r="E29" s="82"/>
      <c r="F29" s="83" t="s">
        <v>42</v>
      </c>
      <c r="G29" s="84">
        <f>sum(G16:G28)</f>
        <v>69.9</v>
      </c>
    </row>
    <row r="30" ht="19.5" customHeight="1">
      <c r="A30" s="80"/>
      <c r="F30" s="85" t="s">
        <v>43</v>
      </c>
      <c r="G30" s="86">
        <f>G17*0.08125</f>
        <v>5.679375</v>
      </c>
    </row>
    <row r="31" ht="30.0" customHeight="1">
      <c r="A31" s="87"/>
      <c r="B31" s="88"/>
      <c r="C31" s="89"/>
      <c r="D31" s="89"/>
      <c r="E31" s="90"/>
      <c r="F31" s="91">
        <f>sum(G29,G30)</f>
        <v>75.579375</v>
      </c>
    </row>
    <row r="32" ht="19.5" customHeight="1">
      <c r="A32" s="92"/>
      <c r="B32" s="93"/>
      <c r="C32" s="92"/>
      <c r="D32" s="92"/>
      <c r="E32" s="61"/>
      <c r="F32" s="61"/>
      <c r="G32" s="61"/>
    </row>
  </sheetData>
  <mergeCells count="16">
    <mergeCell ref="D11:E11"/>
    <mergeCell ref="F11:G11"/>
    <mergeCell ref="F12:G12"/>
    <mergeCell ref="F13:G13"/>
    <mergeCell ref="B12:C12"/>
    <mergeCell ref="B13:C13"/>
    <mergeCell ref="B15:D15"/>
    <mergeCell ref="B29:E30"/>
    <mergeCell ref="F31:G31"/>
    <mergeCell ref="B3:D3"/>
    <mergeCell ref="B4:D4"/>
    <mergeCell ref="B5:D5"/>
    <mergeCell ref="B6:C6"/>
    <mergeCell ref="B8:C8"/>
    <mergeCell ref="B9:E9"/>
    <mergeCell ref="B10:C10"/>
  </mergeCells>
  <dataValidations>
    <dataValidation type="list" allowBlank="1" showErrorMessage="1" sqref="B22">
      <formula1>prices!$A$21:$A$23</formula1>
    </dataValidation>
    <dataValidation type="list" allowBlank="1" showErrorMessage="1" sqref="B16:B17">
      <formula1>prices!$A$1:$A$5</formula1>
    </dataValidation>
    <dataValidation type="list" allowBlank="1" showErrorMessage="1" sqref="B19">
      <formula1>prices!$A$11:$A$14</formula1>
    </dataValidation>
    <dataValidation type="list" allowBlank="1" showErrorMessage="1" sqref="B24">
      <formula1>prices!$A$27:$A$29</formula1>
    </dataValidation>
    <dataValidation type="list" allowBlank="1" showErrorMessage="1" sqref="B23">
      <formula1>prices!$A$24:$A$26</formula1>
    </dataValidation>
    <dataValidation type="list" allowBlank="1" showErrorMessage="1" sqref="B20:B21">
      <formula1>prices!$A$15:$A$20</formula1>
    </dataValidation>
    <dataValidation type="list" allowBlank="1" showErrorMessage="1" sqref="B18">
      <formula1>prices!$A$6:$A$9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18.88"/>
    <col customWidth="1" min="6" max="6" width="32.63"/>
  </cols>
  <sheetData>
    <row r="1">
      <c r="A1" s="1" t="s">
        <v>0</v>
      </c>
      <c r="F1" s="2" t="s">
        <v>1</v>
      </c>
    </row>
    <row r="2">
      <c r="A2" s="3" t="s">
        <v>2</v>
      </c>
      <c r="B2" s="4">
        <v>11.99</v>
      </c>
    </row>
    <row r="3">
      <c r="A3" s="3" t="s">
        <v>3</v>
      </c>
      <c r="B3" s="4">
        <v>6.99</v>
      </c>
      <c r="F3" s="5" t="s">
        <v>4</v>
      </c>
      <c r="G3" s="6">
        <v>5.0</v>
      </c>
    </row>
    <row r="4">
      <c r="A4" s="7" t="s">
        <v>5</v>
      </c>
      <c r="B4" s="8">
        <v>10.99</v>
      </c>
      <c r="F4" s="5" t="s">
        <v>6</v>
      </c>
      <c r="G4" s="6">
        <v>10.0</v>
      </c>
    </row>
    <row r="5">
      <c r="A5" s="9" t="s">
        <v>7</v>
      </c>
      <c r="B5" s="4">
        <v>9.99</v>
      </c>
      <c r="F5" s="5" t="s">
        <v>8</v>
      </c>
      <c r="G5" s="6">
        <v>6.0</v>
      </c>
    </row>
    <row r="6">
      <c r="A6" s="1" t="s">
        <v>9</v>
      </c>
      <c r="B6" s="10"/>
      <c r="C6" s="10"/>
      <c r="F6" s="2" t="s">
        <v>10</v>
      </c>
    </row>
    <row r="7" ht="23.25" customHeight="1">
      <c r="A7" s="11" t="s">
        <v>11</v>
      </c>
      <c r="B7" s="12">
        <v>25.99</v>
      </c>
    </row>
    <row r="8">
      <c r="A8" s="11" t="s">
        <v>12</v>
      </c>
      <c r="B8" s="12">
        <v>16.99</v>
      </c>
      <c r="F8" s="5" t="s">
        <v>13</v>
      </c>
      <c r="G8" s="6">
        <v>30.0</v>
      </c>
    </row>
    <row r="9">
      <c r="A9" s="11" t="s">
        <v>14</v>
      </c>
      <c r="B9" s="13">
        <v>20.99</v>
      </c>
      <c r="F9" s="5" t="s">
        <v>15</v>
      </c>
      <c r="G9" s="6">
        <v>15.0</v>
      </c>
    </row>
    <row r="10">
      <c r="F10" s="5" t="s">
        <v>16</v>
      </c>
      <c r="G10" s="6">
        <v>105.0</v>
      </c>
    </row>
    <row r="11">
      <c r="A11" s="14" t="s">
        <v>17</v>
      </c>
      <c r="B11" s="2"/>
      <c r="C11" s="2"/>
      <c r="F11" s="5" t="s">
        <v>18</v>
      </c>
      <c r="G11" s="6">
        <v>15.0</v>
      </c>
    </row>
    <row r="12">
      <c r="A12" s="5" t="s">
        <v>4</v>
      </c>
      <c r="B12" s="6">
        <v>5.0</v>
      </c>
      <c r="F12" s="5" t="s">
        <v>19</v>
      </c>
      <c r="G12" s="6">
        <v>20.0</v>
      </c>
    </row>
    <row r="13">
      <c r="A13" s="5" t="s">
        <v>6</v>
      </c>
      <c r="B13" s="6">
        <v>10.0</v>
      </c>
      <c r="F13" s="2" t="s">
        <v>20</v>
      </c>
    </row>
    <row r="14">
      <c r="A14" s="5" t="s">
        <v>8</v>
      </c>
      <c r="B14" s="6">
        <v>6.0</v>
      </c>
      <c r="F14" s="5" t="s">
        <v>21</v>
      </c>
      <c r="G14" s="6">
        <v>10.0</v>
      </c>
    </row>
    <row r="15">
      <c r="A15" s="2" t="s">
        <v>10</v>
      </c>
      <c r="B15" s="2"/>
      <c r="C15" s="2"/>
      <c r="F15" s="5" t="s">
        <v>22</v>
      </c>
      <c r="G15" s="6">
        <v>18.0</v>
      </c>
    </row>
    <row r="16">
      <c r="A16" s="5" t="s">
        <v>13</v>
      </c>
      <c r="B16" s="6">
        <v>30.0</v>
      </c>
      <c r="F16" s="2" t="s">
        <v>23</v>
      </c>
    </row>
    <row r="17">
      <c r="A17" s="5" t="s">
        <v>15</v>
      </c>
      <c r="B17" s="6">
        <v>15.0</v>
      </c>
      <c r="F17" s="5" t="s">
        <v>24</v>
      </c>
      <c r="G17" s="6">
        <v>5.0</v>
      </c>
    </row>
    <row r="18">
      <c r="A18" s="5" t="s">
        <v>16</v>
      </c>
      <c r="B18" s="6">
        <v>105.0</v>
      </c>
      <c r="F18" s="5" t="s">
        <v>25</v>
      </c>
      <c r="G18" s="6">
        <v>12.0</v>
      </c>
    </row>
    <row r="19">
      <c r="A19" s="5" t="s">
        <v>18</v>
      </c>
      <c r="B19" s="6">
        <v>15.0</v>
      </c>
      <c r="F19" s="2" t="s">
        <v>26</v>
      </c>
    </row>
    <row r="20">
      <c r="A20" s="5" t="s">
        <v>19</v>
      </c>
      <c r="B20" s="6">
        <v>20.0</v>
      </c>
      <c r="F20" s="5" t="s">
        <v>27</v>
      </c>
      <c r="G20" s="6">
        <v>5.0</v>
      </c>
    </row>
    <row r="21">
      <c r="A21" s="2" t="s">
        <v>20</v>
      </c>
      <c r="B21" s="2"/>
      <c r="C21" s="2"/>
      <c r="F21" s="5" t="s">
        <v>28</v>
      </c>
      <c r="G21" s="6">
        <v>10.0</v>
      </c>
    </row>
    <row r="22">
      <c r="A22" s="5" t="s">
        <v>21</v>
      </c>
      <c r="B22" s="6">
        <v>10.0</v>
      </c>
      <c r="F22" s="5" t="s">
        <v>29</v>
      </c>
      <c r="G22" s="6">
        <v>15.0</v>
      </c>
    </row>
    <row r="23">
      <c r="A23" s="5" t="s">
        <v>22</v>
      </c>
      <c r="B23" s="6">
        <v>18.0</v>
      </c>
      <c r="F23" s="15"/>
      <c r="G23" s="15"/>
      <c r="H23" s="16"/>
    </row>
    <row r="24">
      <c r="A24" s="2" t="s">
        <v>23</v>
      </c>
      <c r="B24" s="2"/>
      <c r="C24" s="2"/>
    </row>
    <row r="25">
      <c r="A25" s="5" t="s">
        <v>24</v>
      </c>
      <c r="B25" s="6">
        <v>5.0</v>
      </c>
    </row>
    <row r="26">
      <c r="A26" s="5" t="s">
        <v>25</v>
      </c>
      <c r="B26" s="6">
        <v>12.0</v>
      </c>
    </row>
    <row r="27">
      <c r="A27" s="2" t="s">
        <v>26</v>
      </c>
      <c r="B27" s="2"/>
      <c r="C27" s="2"/>
    </row>
    <row r="28">
      <c r="A28" s="5" t="s">
        <v>28</v>
      </c>
      <c r="B28" s="6">
        <v>10.0</v>
      </c>
    </row>
    <row r="29">
      <c r="A29" s="5" t="s">
        <v>29</v>
      </c>
      <c r="B29" s="6">
        <v>15.0</v>
      </c>
    </row>
  </sheetData>
  <mergeCells count="5">
    <mergeCell ref="F1:H2"/>
    <mergeCell ref="F6:H7"/>
    <mergeCell ref="F13:H13"/>
    <mergeCell ref="F16:H16"/>
    <mergeCell ref="F19:H19"/>
  </mergeCells>
  <drawing r:id="rId1"/>
</worksheet>
</file>